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DFBE588D-046A-4627-A57A-B1C443608531}" xr6:coauthVersionLast="47" xr6:coauthVersionMax="47" xr10:uidLastSave="{00000000-0000-0000-0000-000000000000}"/>
  <bookViews>
    <workbookView xWindow="-120" yWindow="-120" windowWidth="29040" windowHeight="15720" xr2:uid="{B061C804-FD07-40E6-B1A0-769FF4055228}"/>
  </bookViews>
  <sheets>
    <sheet name="Main 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29" i="1"/>
  <c r="C30" i="1" s="1"/>
  <c r="C24" i="1"/>
  <c r="C25" i="1" s="1"/>
  <c r="C23" i="1"/>
  <c r="C22" i="1"/>
  <c r="C17" i="1"/>
  <c r="C18" i="1" s="1"/>
  <c r="C19" i="1" s="1"/>
  <c r="C15" i="1"/>
  <c r="C34" i="1" l="1"/>
  <c r="C32" i="1"/>
  <c r="C35" i="1" s="1"/>
  <c r="C33" i="1"/>
  <c r="C20" i="1"/>
</calcChain>
</file>

<file path=xl/sharedStrings.xml><?xml version="1.0" encoding="utf-8"?>
<sst xmlns="http://schemas.openxmlformats.org/spreadsheetml/2006/main" count="131" uniqueCount="98">
  <si>
    <t>Variable</t>
  </si>
  <si>
    <t>Description</t>
  </si>
  <si>
    <t>Unit</t>
  </si>
  <si>
    <t>Value</t>
  </si>
  <si>
    <t>Source</t>
  </si>
  <si>
    <t>NamedRange</t>
  </si>
  <si>
    <t>FC_AMT</t>
  </si>
  <si>
    <t>Foreign-currency receivable</t>
  </si>
  <si>
    <t>EUR</t>
  </si>
  <si>
    <t>Company data</t>
  </si>
  <si>
    <t>S0</t>
  </si>
  <si>
    <t>Current EURUSD spot</t>
  </si>
  <si>
    <t>USD per EUR</t>
  </si>
  <si>
    <t>Market quote</t>
  </si>
  <si>
    <t>F0_1y</t>
  </si>
  <si>
    <t>1-year EURUSD forward</t>
  </si>
  <si>
    <t>Provided</t>
  </si>
  <si>
    <t>r_USD_1y</t>
  </si>
  <si>
    <t>USD 1-year interest rate</t>
  </si>
  <si>
    <t>decimal</t>
  </si>
  <si>
    <t>r_EUR_1y</t>
  </si>
  <si>
    <t>EUR 1-year interest rate</t>
  </si>
  <si>
    <t>t</t>
  </si>
  <si>
    <t>Time to maturity</t>
  </si>
  <si>
    <t>years</t>
  </si>
  <si>
    <t>Derived</t>
  </si>
  <si>
    <t>K_put</t>
  </si>
  <si>
    <t>Put strike (EUR)</t>
  </si>
  <si>
    <t>Analyst choice</t>
  </si>
  <si>
    <t>Premium_put</t>
  </si>
  <si>
    <t>Put premium</t>
  </si>
  <si>
    <t>Dealer quote</t>
  </si>
  <si>
    <t>K_call</t>
  </si>
  <si>
    <t>Call strike (EUR)</t>
  </si>
  <si>
    <t>Premium_call</t>
  </si>
  <si>
    <t>Call premium</t>
  </si>
  <si>
    <t>Tx_costs</t>
  </si>
  <si>
    <t>Transaction costs (total)</t>
  </si>
  <si>
    <t>USD</t>
  </si>
  <si>
    <t>Assumption</t>
  </si>
  <si>
    <t>Notes</t>
  </si>
  <si>
    <t xml:space="preserve"> </t>
  </si>
  <si>
    <t>EUR to borrow today</t>
  </si>
  <si>
    <t>Convert borrowed EUR to USD today</t>
  </si>
  <si>
    <t>USD_mm = USD_from_sale * (1 + r_USD_1y)</t>
  </si>
  <si>
    <t>Delta_Put_%Of_SpotValue</t>
  </si>
  <si>
    <t>Delta_Unhedged_%Of_SpotValue</t>
  </si>
  <si>
    <t>Delta_Put_vs_Forward</t>
  </si>
  <si>
    <t>Delta_Unhedged_vs_Forward</t>
  </si>
  <si>
    <t>USD_put_net</t>
  </si>
  <si>
    <t>USD_mm (constant)</t>
  </si>
  <si>
    <t>USD_forward (constant)</t>
  </si>
  <si>
    <t>USD_unhedged (FC_AMT * S_T)</t>
  </si>
  <si>
    <t>S_T (EURUSD)</t>
  </si>
  <si>
    <t>Placeholder</t>
  </si>
  <si>
    <t>Recommendation</t>
  </si>
  <si>
    <t>Option Hedges</t>
  </si>
  <si>
    <t>Premium_total_call = FC_AMT * Premium_call</t>
  </si>
  <si>
    <t>Money Market Hedge</t>
  </si>
  <si>
    <t>Forward Hedge</t>
  </si>
  <si>
    <t>Difference put net minus forward</t>
  </si>
  <si>
    <t>Difference unhedged minus forward</t>
  </si>
  <si>
    <t>Call net if bought</t>
  </si>
  <si>
    <t>USD_call_net</t>
  </si>
  <si>
    <t>Net after premium (for put buyer)</t>
  </si>
  <si>
    <t>Put payoff before premium (strike=S0)</t>
  </si>
  <si>
    <t>Payoff_put</t>
  </si>
  <si>
    <t>Unhedged USD proceeds</t>
  </si>
  <si>
    <t>USD_unhedged</t>
  </si>
  <si>
    <t>S_T, USD_unhedged, USD_forward (const), USD_mm (const), USD_put_net, USD_call_net, Delta_Unhedged_vs_Forward, Delta_Put_vs_Forward</t>
  </si>
  <si>
    <t>Total USD floor if puts exercised (approx)</t>
  </si>
  <si>
    <t>Total upfront cost to buy calls (USD)</t>
  </si>
  <si>
    <t>Total upfront cost to buy puts (USD)</t>
  </si>
  <si>
    <t>Invest USD until maturity</t>
  </si>
  <si>
    <t>Locked USD proceeds (forward)</t>
  </si>
  <si>
    <t>USD_forward = FC_AMT * F0_1y</t>
  </si>
  <si>
    <t>PV_EUR = FC_AMT / (1 + r_EUR_1y).</t>
  </si>
  <si>
    <t>Calculation</t>
  </si>
  <si>
    <t>Formula</t>
  </si>
  <si>
    <t xml:space="preserve">USD_from_sale = PV_EUR * S0 </t>
  </si>
  <si>
    <t>Parity_check = USD_forward - USD_mm</t>
  </si>
  <si>
    <t>Premium_total_put = FC_AMT * Premium_put</t>
  </si>
  <si>
    <t>Effective_floor_per_EUR = S0 - Premium_put</t>
  </si>
  <si>
    <t>Effective_floor_total = FC_AMT * Effective_floor_per_EUR</t>
  </si>
  <si>
    <t>If strike set = S0; EUR effective floor after premium</t>
  </si>
  <si>
    <t xml:space="preserve">Scenarios </t>
  </si>
  <si>
    <t>FC_AMT * (S_T)</t>
  </si>
  <si>
    <t>Payoff_put - Premium_total_put</t>
  </si>
  <si>
    <t>FC_AMT * S_T - Premium_total_call</t>
  </si>
  <si>
    <t>USD_unhedged - USD_forward</t>
  </si>
  <si>
    <t>USD_put_net - USD_forward</t>
  </si>
  <si>
    <t xml:space="preserve">S_T </t>
  </si>
  <si>
    <t>(example, 0.95×S0)</t>
  </si>
  <si>
    <t>,Calculated spot at maturity</t>
  </si>
  <si>
    <t>FC_AMT * MAX(S_T, S0)</t>
  </si>
  <si>
    <t>Check forward vs. money market parity (verify quotes)</t>
  </si>
  <si>
    <t>Notes,Grid used: 0.95×S0 to 1.05×S0 in 1% steps; USD_forward constant is 4,893,750; USD_mm example approx 5,295,472.64; Premium_total = 67,500</t>
  </si>
  <si>
    <t>Sensitivity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</si>
</sst>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/>
    <xf numFmtId="0" fontId="0" fillId="33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16" fillId="0" borderId="10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6" xfId="0" applyFont="1" applyBorder="1"/>
    <xf numFmtId="0" fontId="0" fillId="0" borderId="15" xfId="0" applyBorder="1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numFmt numFmtId="14" formatCode="0.00%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18DA-A173-498B-B211-7BED13092945}" name="Table1" displayName="Table1" ref="A1:F12" totalsRowShown="0">
  <autoFilter ref="A1:F12" xr:uid="{833818DA-A173-498B-B211-7BED13092945}"/>
  <tableColumns count="6">
    <tableColumn id="1" xr3:uid="{FCACD79E-10FD-4BFA-A3C7-1BF03A5B191D}" name="Variable"/>
    <tableColumn id="2" xr3:uid="{FBE78F72-EB80-4113-A43C-820BB4BB814D}" name="Description"/>
    <tableColumn id="3" xr3:uid="{2B9BFE38-84CA-427D-9886-1699FA9AE006}" name="Unit"/>
    <tableColumn id="4" xr3:uid="{7E4843CF-561E-4CDC-B349-6788A9C0BFD1}" name="Value" dataDxfId="2"/>
    <tableColumn id="5" xr3:uid="{40BBAB29-851E-450A-949E-EBAE1C9B2743}" name="Source"/>
    <tableColumn id="6" xr3:uid="{F13171EC-C66C-43DC-B1D3-6DE5CFAE734A}" name="NamedRang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355C0-2921-410F-B6A4-0BA1F26D0DE8}" name="Table2" displayName="Table2" ref="A38:I49" totalsRowShown="0">
  <autoFilter ref="A38:I49" xr:uid="{C2D355C0-2921-410F-B6A4-0BA1F26D0DE8}"/>
  <tableColumns count="9">
    <tableColumn id="1" xr3:uid="{F4BBFCF6-C871-4481-9688-85308216EE10}" name="S_T (EURUSD)"/>
    <tableColumn id="2" xr3:uid="{94576024-1074-478F-A95D-291162740AE2}" name="USD_unhedged (FC_AMT * S_T)"/>
    <tableColumn id="3" xr3:uid="{8D606D32-5281-45CE-9FC8-3E9220262483}" name="USD_forward (constant)"/>
    <tableColumn id="4" xr3:uid="{1EF74C1D-65AA-45C1-9526-DB2D771455B7}" name="USD_mm (constant)"/>
    <tableColumn id="5" xr3:uid="{8D8989DB-CE76-485C-A5E7-107681056D44}" name="USD_put_net"/>
    <tableColumn id="6" xr3:uid="{8CED66E5-6949-424B-8B45-AB2AA728A926}" name="Delta_Unhedged_vs_Forward"/>
    <tableColumn id="7" xr3:uid="{F1D56463-EA5C-4982-B0D3-976DB7D67871}" name="Delta_Put_vs_Forward"/>
    <tableColumn id="8" xr3:uid="{5242E7E2-4C42-47DD-8804-A90F0F72DC73}" name="Delta_Unhedged_%Of_SpotValue" dataDxfId="1"/>
    <tableColumn id="9" xr3:uid="{F9CECDE2-6F4A-49FD-86E2-F2F6947C6567}" name="Delta_Put_%Of_SpotValu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DD93-5AB2-4426-95F0-D2D64E0203AA}">
  <dimension ref="A1:I54"/>
  <sheetViews>
    <sheetView tabSelected="1" workbookViewId="0">
      <selection activeCell="B56" sqref="B56"/>
    </sheetView>
  </sheetViews>
  <sheetFormatPr defaultRowHeight="15" x14ac:dyDescent="0.25"/>
  <cols>
    <col min="1" max="1" width="26.7109375" bestFit="1" customWidth="1"/>
    <col min="2" max="2" width="49.85546875" bestFit="1" customWidth="1"/>
    <col min="3" max="3" width="12" bestFit="1" customWidth="1"/>
    <col min="4" max="4" width="51.28515625" bestFit="1" customWidth="1"/>
    <col min="5" max="5" width="42.28515625" bestFit="1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4500000</v>
      </c>
      <c r="E2" t="s">
        <v>9</v>
      </c>
      <c r="F2" t="s">
        <v>6</v>
      </c>
    </row>
    <row r="3" spans="1:6" x14ac:dyDescent="0.25">
      <c r="A3" t="s">
        <v>10</v>
      </c>
      <c r="B3" t="s">
        <v>11</v>
      </c>
      <c r="C3" t="s">
        <v>12</v>
      </c>
      <c r="D3" s="2">
        <v>1.167</v>
      </c>
      <c r="E3" t="s">
        <v>13</v>
      </c>
      <c r="F3" t="s">
        <v>10</v>
      </c>
    </row>
    <row r="4" spans="1:6" x14ac:dyDescent="0.25">
      <c r="A4" t="s">
        <v>14</v>
      </c>
      <c r="B4" t="s">
        <v>15</v>
      </c>
      <c r="C4" t="s">
        <v>12</v>
      </c>
      <c r="D4" s="2">
        <v>1.0874999999999999</v>
      </c>
      <c r="E4" t="s">
        <v>16</v>
      </c>
      <c r="F4" t="s">
        <v>14</v>
      </c>
    </row>
    <row r="5" spans="1:6" x14ac:dyDescent="0.25">
      <c r="A5" t="s">
        <v>17</v>
      </c>
      <c r="B5" t="s">
        <v>18</v>
      </c>
      <c r="C5" t="s">
        <v>19</v>
      </c>
      <c r="D5" s="2">
        <v>5.3749999999999999E-2</v>
      </c>
      <c r="E5" t="s">
        <v>13</v>
      </c>
      <c r="F5" t="s">
        <v>17</v>
      </c>
    </row>
    <row r="6" spans="1:6" x14ac:dyDescent="0.25">
      <c r="A6" t="s">
        <v>20</v>
      </c>
      <c r="B6" t="s">
        <v>21</v>
      </c>
      <c r="C6" t="s">
        <v>19</v>
      </c>
      <c r="D6" s="2">
        <v>4.4999999999999998E-2</v>
      </c>
      <c r="E6" t="s">
        <v>13</v>
      </c>
      <c r="F6" t="s">
        <v>20</v>
      </c>
    </row>
    <row r="7" spans="1:6" x14ac:dyDescent="0.25">
      <c r="A7" t="s">
        <v>22</v>
      </c>
      <c r="B7" t="s">
        <v>23</v>
      </c>
      <c r="C7" t="s">
        <v>24</v>
      </c>
      <c r="D7" s="2">
        <v>1</v>
      </c>
      <c r="E7" t="s">
        <v>25</v>
      </c>
      <c r="F7" t="s">
        <v>22</v>
      </c>
    </row>
    <row r="8" spans="1:6" x14ac:dyDescent="0.25">
      <c r="A8" t="s">
        <v>26</v>
      </c>
      <c r="B8" t="s">
        <v>27</v>
      </c>
      <c r="C8" t="s">
        <v>12</v>
      </c>
      <c r="D8" s="2">
        <v>1.167</v>
      </c>
      <c r="E8" t="s">
        <v>28</v>
      </c>
      <c r="F8" t="s">
        <v>26</v>
      </c>
    </row>
    <row r="9" spans="1:6" x14ac:dyDescent="0.25">
      <c r="A9" t="s">
        <v>29</v>
      </c>
      <c r="B9" t="s">
        <v>30</v>
      </c>
      <c r="C9" t="s">
        <v>12</v>
      </c>
      <c r="D9" s="2">
        <v>1.4999999999999999E-2</v>
      </c>
      <c r="E9" t="s">
        <v>31</v>
      </c>
      <c r="F9" t="s">
        <v>29</v>
      </c>
    </row>
    <row r="10" spans="1:6" x14ac:dyDescent="0.25">
      <c r="A10" t="s">
        <v>32</v>
      </c>
      <c r="B10" t="s">
        <v>33</v>
      </c>
      <c r="C10" t="s">
        <v>12</v>
      </c>
      <c r="D10" s="2">
        <v>1.167</v>
      </c>
      <c r="E10" t="s">
        <v>28</v>
      </c>
      <c r="F10" t="s">
        <v>32</v>
      </c>
    </row>
    <row r="11" spans="1:6" x14ac:dyDescent="0.25">
      <c r="A11" t="s">
        <v>34</v>
      </c>
      <c r="B11" t="s">
        <v>35</v>
      </c>
      <c r="C11" t="s">
        <v>12</v>
      </c>
      <c r="D11" s="2">
        <v>1.7999999999999999E-2</v>
      </c>
      <c r="E11" t="s">
        <v>31</v>
      </c>
      <c r="F11" t="s">
        <v>34</v>
      </c>
    </row>
    <row r="12" spans="1:6" x14ac:dyDescent="0.25">
      <c r="A12" t="s">
        <v>36</v>
      </c>
      <c r="B12" t="s">
        <v>37</v>
      </c>
      <c r="C12" t="s">
        <v>38</v>
      </c>
      <c r="D12" s="2">
        <v>0</v>
      </c>
      <c r="E12" t="s">
        <v>39</v>
      </c>
      <c r="F12" t="s">
        <v>36</v>
      </c>
    </row>
    <row r="14" spans="1:6" x14ac:dyDescent="0.25">
      <c r="A14" s="6"/>
      <c r="B14" s="7" t="s">
        <v>78</v>
      </c>
      <c r="C14" s="7" t="s">
        <v>77</v>
      </c>
      <c r="D14" s="7" t="s">
        <v>40</v>
      </c>
      <c r="E14" t="s">
        <v>41</v>
      </c>
      <c r="F14" t="s">
        <v>41</v>
      </c>
    </row>
    <row r="15" spans="1:6" x14ac:dyDescent="0.25">
      <c r="A15" s="8" t="s">
        <v>59</v>
      </c>
      <c r="B15" s="8" t="s">
        <v>75</v>
      </c>
      <c r="C15" s="8">
        <f>D2*D4</f>
        <v>4893750</v>
      </c>
      <c r="D15" s="8" t="s">
        <v>74</v>
      </c>
    </row>
    <row r="16" spans="1:6" x14ac:dyDescent="0.25">
      <c r="A16" s="10"/>
      <c r="B16" s="11"/>
      <c r="C16" s="11"/>
      <c r="D16" s="12"/>
    </row>
    <row r="17" spans="1:6" x14ac:dyDescent="0.25">
      <c r="A17" s="9" t="s">
        <v>58</v>
      </c>
      <c r="B17" s="9" t="s">
        <v>76</v>
      </c>
      <c r="C17" s="9">
        <f>D2/(1+D6)</f>
        <v>4306220.0956937801</v>
      </c>
      <c r="D17" s="9" t="s">
        <v>42</v>
      </c>
    </row>
    <row r="18" spans="1:6" x14ac:dyDescent="0.25">
      <c r="A18" s="6" t="s">
        <v>58</v>
      </c>
      <c r="B18" s="6" t="s">
        <v>79</v>
      </c>
      <c r="C18" s="6">
        <f>C17*D3</f>
        <v>5025358.8516746415</v>
      </c>
      <c r="D18" s="6" t="s">
        <v>43</v>
      </c>
    </row>
    <row r="19" spans="1:6" x14ac:dyDescent="0.25">
      <c r="A19" s="6" t="s">
        <v>58</v>
      </c>
      <c r="B19" s="6" t="s">
        <v>44</v>
      </c>
      <c r="C19" s="6">
        <f>C18*(1+D5)</f>
        <v>5295471.889952153</v>
      </c>
      <c r="D19" s="6" t="s">
        <v>73</v>
      </c>
    </row>
    <row r="20" spans="1:6" x14ac:dyDescent="0.25">
      <c r="A20" s="8" t="s">
        <v>58</v>
      </c>
      <c r="B20" s="8" t="s">
        <v>80</v>
      </c>
      <c r="C20" s="8">
        <f>C15-C19</f>
        <v>-401721.88995215297</v>
      </c>
      <c r="D20" s="8" t="s">
        <v>95</v>
      </c>
    </row>
    <row r="21" spans="1:6" x14ac:dyDescent="0.25">
      <c r="A21" s="10"/>
      <c r="B21" s="11"/>
      <c r="C21" s="11"/>
      <c r="D21" s="12"/>
    </row>
    <row r="22" spans="1:6" x14ac:dyDescent="0.25">
      <c r="A22" s="9" t="s">
        <v>56</v>
      </c>
      <c r="B22" s="9" t="s">
        <v>81</v>
      </c>
      <c r="C22" s="9">
        <f>D2*D9</f>
        <v>67500</v>
      </c>
      <c r="D22" s="9" t="s">
        <v>72</v>
      </c>
    </row>
    <row r="23" spans="1:6" x14ac:dyDescent="0.25">
      <c r="A23" s="6" t="s">
        <v>56</v>
      </c>
      <c r="B23" s="6" t="s">
        <v>57</v>
      </c>
      <c r="C23" s="6">
        <f>D2*D11</f>
        <v>81000</v>
      </c>
      <c r="D23" s="6" t="s">
        <v>71</v>
      </c>
    </row>
    <row r="24" spans="1:6" x14ac:dyDescent="0.25">
      <c r="A24" s="6" t="s">
        <v>56</v>
      </c>
      <c r="B24" s="6" t="s">
        <v>82</v>
      </c>
      <c r="C24" s="6">
        <f>D3-D9</f>
        <v>1.1520000000000001</v>
      </c>
      <c r="D24" s="6" t="s">
        <v>84</v>
      </c>
    </row>
    <row r="25" spans="1:6" x14ac:dyDescent="0.25">
      <c r="A25" s="8" t="s">
        <v>56</v>
      </c>
      <c r="B25" s="8" t="s">
        <v>83</v>
      </c>
      <c r="C25" s="8">
        <f>D2*C24</f>
        <v>5184000.0000000009</v>
      </c>
      <c r="D25" s="8" t="s">
        <v>70</v>
      </c>
    </row>
    <row r="26" spans="1:6" x14ac:dyDescent="0.25">
      <c r="A26" s="3"/>
      <c r="B26" s="4"/>
      <c r="C26" s="4"/>
      <c r="D26" s="5"/>
    </row>
    <row r="27" spans="1:6" x14ac:dyDescent="0.25">
      <c r="A27" s="13" t="s">
        <v>85</v>
      </c>
      <c r="B27" s="11"/>
      <c r="C27" s="11"/>
      <c r="D27" s="12"/>
      <c r="F27" t="s">
        <v>41</v>
      </c>
    </row>
    <row r="28" spans="1:6" x14ac:dyDescent="0.25">
      <c r="A28" s="14" t="s">
        <v>69</v>
      </c>
      <c r="B28" s="14"/>
      <c r="C28" s="14"/>
      <c r="D28" s="14"/>
    </row>
    <row r="29" spans="1:6" x14ac:dyDescent="0.25">
      <c r="A29" s="6" t="s">
        <v>91</v>
      </c>
      <c r="B29" s="6" t="s">
        <v>92</v>
      </c>
      <c r="C29" s="6">
        <f>0.95*1.167</f>
        <v>1.1086499999999999</v>
      </c>
      <c r="D29" s="6" t="s">
        <v>93</v>
      </c>
    </row>
    <row r="30" spans="1:6" x14ac:dyDescent="0.25">
      <c r="A30" s="6" t="s">
        <v>68</v>
      </c>
      <c r="B30" s="6" t="s">
        <v>86</v>
      </c>
      <c r="C30" s="6">
        <f>D2*C29</f>
        <v>4988925</v>
      </c>
      <c r="D30" s="6" t="s">
        <v>67</v>
      </c>
    </row>
    <row r="31" spans="1:6" x14ac:dyDescent="0.25">
      <c r="A31" s="6" t="s">
        <v>66</v>
      </c>
      <c r="B31" s="6" t="s">
        <v>94</v>
      </c>
      <c r="C31" s="6">
        <f>4500000*MAX(1.10865,1.167)</f>
        <v>5251500</v>
      </c>
      <c r="D31" s="6" t="s">
        <v>65</v>
      </c>
    </row>
    <row r="32" spans="1:6" x14ac:dyDescent="0.25">
      <c r="A32" s="6" t="s">
        <v>49</v>
      </c>
      <c r="B32" s="6" t="s">
        <v>87</v>
      </c>
      <c r="C32" s="6">
        <f>C31-C22</f>
        <v>5184000</v>
      </c>
      <c r="D32" s="6" t="s">
        <v>64</v>
      </c>
    </row>
    <row r="33" spans="1:9" x14ac:dyDescent="0.25">
      <c r="A33" s="6" t="s">
        <v>63</v>
      </c>
      <c r="B33" s="6" t="s">
        <v>88</v>
      </c>
      <c r="C33" s="6">
        <f>D2*C29-C23</f>
        <v>4907925</v>
      </c>
      <c r="D33" s="6" t="s">
        <v>62</v>
      </c>
    </row>
    <row r="34" spans="1:9" x14ac:dyDescent="0.25">
      <c r="A34" s="6" t="s">
        <v>48</v>
      </c>
      <c r="B34" s="6" t="s">
        <v>89</v>
      </c>
      <c r="C34" s="6">
        <f>C30-C15</f>
        <v>95175</v>
      </c>
      <c r="D34" s="6" t="s">
        <v>61</v>
      </c>
    </row>
    <row r="35" spans="1:9" x14ac:dyDescent="0.25">
      <c r="A35" s="6" t="s">
        <v>47</v>
      </c>
      <c r="B35" s="6" t="s">
        <v>90</v>
      </c>
      <c r="C35" s="6">
        <f>C32-C15</f>
        <v>290250</v>
      </c>
      <c r="D35" s="6" t="s">
        <v>60</v>
      </c>
    </row>
    <row r="37" spans="1:9" x14ac:dyDescent="0.25">
      <c r="A37" t="s">
        <v>97</v>
      </c>
    </row>
    <row r="38" spans="1:9" x14ac:dyDescent="0.25">
      <c r="A38" t="s">
        <v>53</v>
      </c>
      <c r="B38" t="s">
        <v>52</v>
      </c>
      <c r="C38" t="s">
        <v>51</v>
      </c>
      <c r="D38" t="s">
        <v>50</v>
      </c>
      <c r="E38" t="s">
        <v>49</v>
      </c>
      <c r="F38" t="s">
        <v>48</v>
      </c>
      <c r="G38" t="s">
        <v>47</v>
      </c>
      <c r="H38" t="s">
        <v>46</v>
      </c>
      <c r="I38" t="s">
        <v>45</v>
      </c>
    </row>
    <row r="39" spans="1:9" x14ac:dyDescent="0.25">
      <c r="A39">
        <v>1.1086499999999999</v>
      </c>
      <c r="B39">
        <v>4988925</v>
      </c>
      <c r="C39">
        <v>4893750</v>
      </c>
      <c r="D39">
        <v>5295472.6399999997</v>
      </c>
      <c r="E39">
        <v>5184000</v>
      </c>
      <c r="F39">
        <v>95175</v>
      </c>
      <c r="G39">
        <v>290250</v>
      </c>
      <c r="H39" s="1">
        <v>1.8100000000000002E-2</v>
      </c>
      <c r="I39" s="1">
        <v>5.5300000000000002E-2</v>
      </c>
    </row>
    <row r="40" spans="1:9" x14ac:dyDescent="0.25">
      <c r="A40">
        <v>1.12032</v>
      </c>
      <c r="B40">
        <v>5041440</v>
      </c>
      <c r="C40">
        <v>4893750</v>
      </c>
      <c r="D40">
        <v>5295472.6399999997</v>
      </c>
      <c r="E40">
        <v>5184000</v>
      </c>
      <c r="F40">
        <v>147690</v>
      </c>
      <c r="G40">
        <v>290250</v>
      </c>
      <c r="H40" s="1">
        <v>2.81E-2</v>
      </c>
      <c r="I40" s="1">
        <v>5.5300000000000002E-2</v>
      </c>
    </row>
    <row r="41" spans="1:9" x14ac:dyDescent="0.25">
      <c r="A41">
        <v>1.1319900000000001</v>
      </c>
      <c r="B41">
        <v>5093955</v>
      </c>
      <c r="C41">
        <v>4893750</v>
      </c>
      <c r="D41">
        <v>5295472.6399999997</v>
      </c>
      <c r="E41">
        <v>5184000</v>
      </c>
      <c r="F41">
        <v>200205</v>
      </c>
      <c r="G41">
        <v>290250</v>
      </c>
      <c r="H41" s="1">
        <v>3.8100000000000002E-2</v>
      </c>
      <c r="I41" s="1">
        <v>5.5300000000000002E-2</v>
      </c>
    </row>
    <row r="42" spans="1:9" x14ac:dyDescent="0.25">
      <c r="A42">
        <v>1.1436599999999999</v>
      </c>
      <c r="B42">
        <v>5146470</v>
      </c>
      <c r="C42">
        <v>4893750</v>
      </c>
      <c r="D42">
        <v>5295472.6399999997</v>
      </c>
      <c r="E42">
        <v>5184000</v>
      </c>
      <c r="F42">
        <v>252720</v>
      </c>
      <c r="G42">
        <v>290250</v>
      </c>
      <c r="H42" s="1">
        <v>4.8099999999999997E-2</v>
      </c>
      <c r="I42" s="1">
        <v>5.5300000000000002E-2</v>
      </c>
    </row>
    <row r="43" spans="1:9" x14ac:dyDescent="0.25">
      <c r="A43">
        <v>1.15533</v>
      </c>
      <c r="B43">
        <v>5198985</v>
      </c>
      <c r="C43">
        <v>4893750</v>
      </c>
      <c r="D43">
        <v>5295472.6399999997</v>
      </c>
      <c r="E43">
        <v>5184000</v>
      </c>
      <c r="F43">
        <v>305235</v>
      </c>
      <c r="G43">
        <v>290250</v>
      </c>
      <c r="H43" s="1">
        <v>5.8099999999999999E-2</v>
      </c>
      <c r="I43" s="1">
        <v>5.5300000000000002E-2</v>
      </c>
    </row>
    <row r="44" spans="1:9" x14ac:dyDescent="0.25">
      <c r="A44">
        <v>1.167</v>
      </c>
      <c r="B44">
        <v>5251500</v>
      </c>
      <c r="C44">
        <v>4893750</v>
      </c>
      <c r="D44">
        <v>5295472.6399999997</v>
      </c>
      <c r="E44">
        <v>5184000</v>
      </c>
      <c r="F44">
        <v>357750</v>
      </c>
      <c r="G44">
        <v>290250</v>
      </c>
      <c r="H44" s="1">
        <v>6.8099999999999994E-2</v>
      </c>
      <c r="I44" s="1">
        <v>5.5300000000000002E-2</v>
      </c>
    </row>
    <row r="45" spans="1:9" x14ac:dyDescent="0.25">
      <c r="A45">
        <v>1.1786700000000001</v>
      </c>
      <c r="B45">
        <v>5304015</v>
      </c>
      <c r="C45">
        <v>4893750</v>
      </c>
      <c r="D45">
        <v>5295472.6399999997</v>
      </c>
      <c r="E45">
        <v>5236515</v>
      </c>
      <c r="F45">
        <v>410265</v>
      </c>
      <c r="G45">
        <v>342765</v>
      </c>
      <c r="H45" s="1">
        <v>7.8200000000000006E-2</v>
      </c>
      <c r="I45" s="1">
        <v>6.5299999999999997E-2</v>
      </c>
    </row>
    <row r="46" spans="1:9" x14ac:dyDescent="0.25">
      <c r="A46">
        <v>1.19034</v>
      </c>
      <c r="B46">
        <v>5356530</v>
      </c>
      <c r="C46">
        <v>4893750</v>
      </c>
      <c r="D46">
        <v>5295472.6399999997</v>
      </c>
      <c r="E46">
        <v>5289030</v>
      </c>
      <c r="F46">
        <v>462780</v>
      </c>
      <c r="G46">
        <v>395280</v>
      </c>
      <c r="H46" s="1">
        <v>8.8200000000000001E-2</v>
      </c>
      <c r="I46" s="1">
        <v>7.5300000000000006E-2</v>
      </c>
    </row>
    <row r="47" spans="1:9" x14ac:dyDescent="0.25">
      <c r="A47">
        <v>1.20201</v>
      </c>
      <c r="B47">
        <v>5409045</v>
      </c>
      <c r="C47">
        <v>4893750</v>
      </c>
      <c r="D47">
        <v>5295472.6399999997</v>
      </c>
      <c r="E47">
        <v>5341545</v>
      </c>
      <c r="F47">
        <v>515295</v>
      </c>
      <c r="G47">
        <v>447795</v>
      </c>
      <c r="H47" s="1">
        <v>9.8199999999999996E-2</v>
      </c>
      <c r="I47" s="1">
        <v>8.5300000000000001E-2</v>
      </c>
    </row>
    <row r="48" spans="1:9" x14ac:dyDescent="0.25">
      <c r="A48">
        <v>1.2136800000000001</v>
      </c>
      <c r="B48">
        <v>5461560</v>
      </c>
      <c r="C48">
        <v>4893750</v>
      </c>
      <c r="D48">
        <v>5295472.6399999997</v>
      </c>
      <c r="E48">
        <v>5394060</v>
      </c>
      <c r="F48">
        <v>567810</v>
      </c>
      <c r="G48">
        <v>500310</v>
      </c>
      <c r="H48" s="1">
        <v>0.1082</v>
      </c>
      <c r="I48" s="1">
        <v>9.5299999999999996E-2</v>
      </c>
    </row>
    <row r="49" spans="1:9" x14ac:dyDescent="0.25">
      <c r="A49">
        <v>1.2253499999999999</v>
      </c>
      <c r="B49">
        <v>5514075</v>
      </c>
      <c r="C49">
        <v>4893750</v>
      </c>
      <c r="D49">
        <v>5295472.6399999997</v>
      </c>
      <c r="E49">
        <v>5446575</v>
      </c>
      <c r="F49">
        <v>620325</v>
      </c>
      <c r="G49">
        <v>552825</v>
      </c>
      <c r="H49" s="1">
        <v>0.1182</v>
      </c>
      <c r="I49" s="1">
        <v>0.1053</v>
      </c>
    </row>
    <row r="50" spans="1:9" x14ac:dyDescent="0.25">
      <c r="A50" t="s">
        <v>96</v>
      </c>
    </row>
    <row r="52" spans="1:9" x14ac:dyDescent="0.25">
      <c r="A52" s="17" t="s">
        <v>55</v>
      </c>
      <c r="B52" s="17"/>
      <c r="F52" t="s">
        <v>41</v>
      </c>
    </row>
    <row r="53" spans="1:9" x14ac:dyDescent="0.25">
      <c r="A53" s="15" t="s">
        <v>54</v>
      </c>
      <c r="B53" s="16"/>
    </row>
    <row r="54" spans="1:9" x14ac:dyDescent="0.25">
      <c r="A54" s="16"/>
      <c r="B54" s="16"/>
    </row>
  </sheetData>
  <mergeCells count="3">
    <mergeCell ref="A28:D28"/>
    <mergeCell ref="A53:B54"/>
    <mergeCell ref="A52:B5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Baltazar</dc:creator>
  <cp:lastModifiedBy>Jacob Baltazar</cp:lastModifiedBy>
  <dcterms:created xsi:type="dcterms:W3CDTF">2025-11-22T08:06:03Z</dcterms:created>
  <dcterms:modified xsi:type="dcterms:W3CDTF">2025-11-22T09:25:05Z</dcterms:modified>
</cp:coreProperties>
</file>